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erapl_sync_work_drive\ประมาณการ Solution\2569\"/>
    </mc:Choice>
  </mc:AlternateContent>
  <xr:revisionPtr revIDLastSave="0" documentId="13_ncr:1_{63EF4051-0F3A-4C9A-B1B6-B15611588143}" xr6:coauthVersionLast="47" xr6:coauthVersionMax="47" xr10:uidLastSave="{00000000-0000-0000-0000-000000000000}"/>
  <bookViews>
    <workbookView xWindow="-108" yWindow="-108" windowWidth="23256" windowHeight="13896" activeTab="1" xr2:uid="{6764590A-18F0-46C2-91EE-BD0E9EB086B9}"/>
  </bookViews>
  <sheets>
    <sheet name="sheet1" sheetId="1" r:id="rId1"/>
    <sheet name="TOR_lis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4" l="1"/>
  <c r="A2" i="4"/>
  <c r="B2" i="4" a="1"/>
  <c r="B2" i="4" s="1"/>
  <c r="A3" i="4"/>
  <c r="C8" i="4" l="1"/>
  <c r="A13" i="4"/>
  <c r="C7" i="4"/>
  <c r="A12" i="4"/>
  <c r="C20" i="4"/>
  <c r="C6" i="4"/>
  <c r="A11" i="4"/>
  <c r="C19" i="4"/>
  <c r="C5" i="4"/>
  <c r="A10" i="4"/>
  <c r="C18" i="4"/>
  <c r="C4" i="4"/>
  <c r="A9" i="4"/>
  <c r="C11" i="4"/>
  <c r="A16" i="4"/>
  <c r="C10" i="4"/>
  <c r="A15" i="4"/>
  <c r="C9" i="4"/>
  <c r="A14" i="4"/>
  <c r="C17" i="4"/>
  <c r="C3" i="4"/>
  <c r="A8" i="4"/>
  <c r="C16" i="4"/>
  <c r="A7" i="4"/>
  <c r="C15" i="4"/>
  <c r="A20" i="4"/>
  <c r="A6" i="4"/>
  <c r="C14" i="4"/>
  <c r="A19" i="4"/>
  <c r="A5" i="4"/>
  <c r="C13" i="4"/>
  <c r="A18" i="4"/>
  <c r="A4" i="4"/>
  <c r="C12" i="4"/>
  <c r="A17" i="4"/>
  <c r="G4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<sst xmlns="http://schemas.openxmlformats.org/spreadsheetml/2006/main" count="136" uniqueCount="50">
  <si>
    <t>ลำดับที่</t>
  </si>
  <si>
    <t>รายการของที่คาดว่าจะใช้งาน</t>
  </si>
  <si>
    <t>รายการ</t>
  </si>
  <si>
    <t>จำนวน</t>
  </si>
  <si>
    <t>หน่วย</t>
  </si>
  <si>
    <t>ราคา/หน่วย</t>
  </si>
  <si>
    <t>ราคารวม</t>
  </si>
  <si>
    <t xml:space="preserve">Indoor Access Point Wi-Fi 6 AX1800 </t>
  </si>
  <si>
    <t>จ้างเหมาติดตั้งสาย LAN พร้อมสาย LAN Indoor CAT6 พร้อมติดตั้งอุปกรณ์ปลายทาง(ร้อยสายในท่อ pvc)</t>
  </si>
  <si>
    <t>จ้างเหมาติดตั้งสาย LAN พร้อมสาย LAN Outdoor CAT6 พร้อมติดตั้งอุปกรณ์ปลายทาง</t>
  </si>
  <si>
    <t>ตัว</t>
  </si>
  <si>
    <t>ชุด</t>
  </si>
  <si>
    <t>RG-RAP2260(E) Reyee Wi-Fi 6 AX3200</t>
  </si>
  <si>
    <t>Indoor Access Point Wi-Fi 6 AX3200</t>
  </si>
  <si>
    <t>ตู้</t>
  </si>
  <si>
    <t>จ้างเหมาติดตั้งระบบ Ground ของตู้ Rack พร้อม Ground rod และ Bus bas</t>
  </si>
  <si>
    <t>จุด</t>
  </si>
  <si>
    <t>งาน</t>
  </si>
  <si>
    <t>จ้างเหมาติดตั้งตู้ rack พร้อมเชื่อมต่อไฟฟ้าเข้าตู้ rack</t>
  </si>
  <si>
    <t>Managed Switch 8 port PoE</t>
  </si>
  <si>
    <t>รวมต้นทุนอุปกรณ์ทั้งหมด</t>
  </si>
  <si>
    <t>บาท</t>
  </si>
  <si>
    <t>อ้างอิงราคา</t>
  </si>
  <si>
    <t>Reyee RG-NBS3100-24GT4SFP-P</t>
  </si>
  <si>
    <t>Managed Switch 24 port PoE</t>
  </si>
  <si>
    <t>RG-ES210GS-P</t>
  </si>
  <si>
    <t>รางไฟชนิด 6 Outlet</t>
  </si>
  <si>
    <t>Stabilizer ZIRCON 2000VA HD-RL</t>
  </si>
  <si>
    <t>Stabilizer 1600W</t>
  </si>
  <si>
    <t>Mikrotik Router</t>
  </si>
  <si>
    <t xml:space="preserve">จ้างเหมาเดินสาย OFC 2C ระยะไม่เกิน 200 เมตร พร้อมสายและ Fusion Splice </t>
  </si>
  <si>
    <t>1.25Gpbs Bidi SFP Module</t>
  </si>
  <si>
    <t>CAT6 LAN Patch cord 1 เมตร</t>
  </si>
  <si>
    <t>เส้น</t>
  </si>
  <si>
    <t>Wall rack 9U ลึก 50cm. พร้อมพัดลมและถาด</t>
  </si>
  <si>
    <t>Wall rack 9U  พร้อมพัดลมและถาด</t>
  </si>
  <si>
    <t>Reyee Wi-Fi 6 AX1800 RG-RAP62</t>
  </si>
  <si>
    <t>Wall Rack 6U (50 cm.) GERMANY  พร้อมพัดลมเดี่ยว 4 นิ้ว</t>
  </si>
  <si>
    <t>จ้างเหมาติดตั้งสาย LAN พร้อมสาย LAN Indoor CAT6 พร้อมติดตั้ง Lan Outlet</t>
  </si>
  <si>
    <t>Switch Reyee RG-ES224GC-V2</t>
  </si>
  <si>
    <t>Switch managed 24 port</t>
  </si>
  <si>
    <t>ระบบ</t>
  </si>
  <si>
    <t>Mikrotik CCR2004-16G-2S+</t>
  </si>
  <si>
    <t>อาคารC</t>
  </si>
  <si>
    <t>อาคาร D และหอประชุม</t>
  </si>
  <si>
    <t>อาคารA ชั้น2</t>
  </si>
  <si>
    <t>อาคารA ชั้น1</t>
  </si>
  <si>
    <t>อาคารB ชั้น2</t>
  </si>
  <si>
    <t>อาคารB ชั้น1</t>
  </si>
  <si>
    <t>ระบบจัดเก็บ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</si>
</sst>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rial"/>
    </font>
    <font>
      <b/>
      <sz val="18"/>
      <color rgb="FF000000"/>
      <name val="TH Sarabun New"/>
      <family val="2"/>
    </font>
    <font>
      <sz val="18"/>
      <color theme="1"/>
      <name val="TH Sarabun New"/>
      <family val="2"/>
    </font>
    <font>
      <b/>
      <sz val="18"/>
      <color theme="1"/>
      <name val="TH Sarabun New"/>
      <family val="2"/>
    </font>
    <font>
      <sz val="16"/>
      <color theme="1"/>
      <name val="TH Sarabun New"/>
      <family val="2"/>
    </font>
    <font>
      <b/>
      <sz val="18"/>
      <color theme="0"/>
      <name val="TH Sarabun New"/>
      <family val="2"/>
    </font>
    <font>
      <sz val="18"/>
      <color rgb="FF000000"/>
      <name val="TH Sarabun New"/>
      <family val="2"/>
    </font>
    <font>
      <sz val="18"/>
      <color rgb="FF34312C"/>
      <name val="TH Sarabun New"/>
      <family val="2"/>
    </font>
    <font>
      <sz val="18"/>
      <color rgb="FF212529"/>
      <name val="TH Sarabun New"/>
      <family val="2"/>
    </font>
    <font>
      <b/>
      <sz val="16"/>
      <color rgb="FFFF0000"/>
      <name val="TH Sarabun New"/>
      <family val="2"/>
    </font>
    <font>
      <sz val="18"/>
      <color theme="1" tint="4.9989318521683403E-2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71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right"/>
    </xf>
    <xf numFmtId="0" fontId="6" fillId="0" borderId="2" xfId="0" applyFont="1" applyBorder="1"/>
    <xf numFmtId="0" fontId="8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3" fontId="5" fillId="4" borderId="1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/>
    </xf>
    <xf numFmtId="3" fontId="2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3" fontId="6" fillId="2" borderId="1" xfId="0" applyNumberFormat="1" applyFont="1" applyFill="1" applyBorder="1" applyAlignment="1">
      <alignment horizontal="right" vertical="center"/>
    </xf>
    <xf numFmtId="3" fontId="6" fillId="0" borderId="1" xfId="0" applyNumberFormat="1" applyFont="1" applyBorder="1" applyAlignment="1">
      <alignment vertical="center"/>
    </xf>
    <xf numFmtId="0" fontId="6" fillId="0" borderId="4" xfId="0" applyFont="1" applyBorder="1"/>
    <xf numFmtId="0" fontId="7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5" fillId="0" borderId="4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2" fillId="0" borderId="1" xfId="0" applyFont="1" applyFill="1" applyBorder="1"/>
    <xf numFmtId="0" fontId="2" fillId="0" borderId="2" xfId="0" applyFont="1" applyFill="1" applyBorder="1"/>
    <xf numFmtId="0" fontId="6" fillId="0" borderId="5" xfId="0" applyFont="1" applyBorder="1"/>
    <xf numFmtId="0" fontId="7" fillId="2" borderId="5" xfId="0" applyFont="1" applyFill="1" applyBorder="1" applyAlignment="1">
      <alignment horizontal="left" vertical="center"/>
    </xf>
    <xf numFmtId="0" fontId="10" fillId="0" borderId="6" xfId="0" applyFont="1" applyBorder="1"/>
    <xf numFmtId="0" fontId="10" fillId="0" borderId="6" xfId="0" applyFont="1" applyBorder="1" applyAlignment="1">
      <alignment horizontal="center"/>
    </xf>
    <xf numFmtId="0" fontId="10" fillId="0" borderId="6" xfId="0" applyFont="1" applyBorder="1" applyAlignment="1">
      <alignment horizontal="left"/>
    </xf>
    <xf numFmtId="3" fontId="10" fillId="0" borderId="6" xfId="0" applyNumberFormat="1" applyFont="1" applyBorder="1" applyAlignment="1">
      <alignment horizontal="right"/>
    </xf>
    <xf numFmtId="0" fontId="9" fillId="0" borderId="0" xfId="0" applyFont="1" applyFill="1"/>
    <xf numFmtId="0" fontId="4" fillId="0" borderId="0" xfId="0" applyFont="1" applyFill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/>
    <xf numFmtId="0" fontId="6" fillId="0" borderId="1" xfId="0" applyFont="1" applyBorder="1" applyAlignment="1"/>
    <xf numFmtId="0" fontId="4" fillId="0" borderId="0" xfId="0" applyFont="1" applyAlignment="1">
      <alignment wrapText="1"/>
    </xf>
    <xf numFmtId="0" fontId="3" fillId="5" borderId="2" xfId="0" applyFont="1" applyFill="1" applyBorder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7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5459-18C4-405C-B4B2-024A521DFF07}">
  <sheetPr>
    <pageSetUpPr fitToPage="1"/>
  </sheetPr>
  <dimension ref="A1:J47"/>
  <sheetViews>
    <sheetView zoomScale="70" zoomScaleNormal="70" workbookViewId="0">
      <selection activeCell="C11" sqref="C11"/>
    </sheetView>
  </sheetViews>
  <sheetFormatPr defaultRowHeight="24.6" x14ac:dyDescent="0.7"/>
  <cols>
    <col min="1" max="1" width="11.09765625" style="2" bestFit="1" customWidth="1"/>
    <col min="2" max="3" width="91.09765625" style="2" bestFit="1" customWidth="1"/>
    <col min="4" max="4" width="10.3984375" style="3" bestFit="1" customWidth="1"/>
    <col min="5" max="5" width="10" style="2" customWidth="1"/>
    <col min="6" max="6" width="12.19921875" style="2" bestFit="1" customWidth="1"/>
    <col min="7" max="7" width="9.796875" style="2" customWidth="1"/>
    <col min="8" max="8" width="13.19921875" style="2" customWidth="1"/>
    <col min="9" max="10" width="7.59765625" style="2" customWidth="1"/>
    <col min="11" max="11" width="27.3984375" style="2" customWidth="1"/>
    <col min="12" max="24" width="7.59765625" style="2" customWidth="1"/>
    <col min="25" max="16384" width="8.796875" style="2"/>
  </cols>
  <sheetData>
    <row r="1" spans="1:10" ht="27" x14ac:dyDescent="0.7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5" t="s">
        <v>22</v>
      </c>
    </row>
    <row r="2" spans="1:10" ht="27" x14ac:dyDescent="0.75">
      <c r="A2" s="47" t="s">
        <v>48</v>
      </c>
      <c r="B2" s="48"/>
      <c r="C2" s="48"/>
      <c r="D2" s="48"/>
      <c r="E2" s="48"/>
      <c r="F2" s="48"/>
      <c r="G2" s="48"/>
      <c r="H2" s="49"/>
    </row>
    <row r="3" spans="1:10" ht="27" x14ac:dyDescent="0.75">
      <c r="A3" s="33">
        <v>1</v>
      </c>
      <c r="B3" s="12" t="s">
        <v>36</v>
      </c>
      <c r="C3" s="12" t="s">
        <v>7</v>
      </c>
      <c r="D3" s="11">
        <v>2</v>
      </c>
      <c r="E3" s="29" t="s">
        <v>10</v>
      </c>
      <c r="F3" s="22"/>
      <c r="G3" s="21"/>
      <c r="H3" s="32"/>
    </row>
    <row r="4" spans="1:10" ht="27" x14ac:dyDescent="0.75">
      <c r="A4" s="33">
        <v>2</v>
      </c>
      <c r="B4" s="12" t="s">
        <v>9</v>
      </c>
      <c r="C4" s="12" t="s">
        <v>9</v>
      </c>
      <c r="D4" s="11">
        <v>2</v>
      </c>
      <c r="E4" s="29" t="s">
        <v>16</v>
      </c>
      <c r="F4" s="22"/>
      <c r="G4" s="21"/>
      <c r="H4" s="32"/>
      <c r="J4" s="46"/>
    </row>
    <row r="5" spans="1:10" ht="27" x14ac:dyDescent="0.75">
      <c r="A5" s="47" t="s">
        <v>47</v>
      </c>
      <c r="B5" s="48"/>
      <c r="C5" s="48"/>
      <c r="D5" s="48"/>
      <c r="E5" s="48"/>
      <c r="F5" s="48"/>
      <c r="G5" s="48"/>
      <c r="H5" s="49"/>
    </row>
    <row r="6" spans="1:10" ht="27" x14ac:dyDescent="0.75">
      <c r="A6" s="34">
        <v>1</v>
      </c>
      <c r="B6" s="9" t="s">
        <v>42</v>
      </c>
      <c r="C6" s="9" t="s">
        <v>29</v>
      </c>
      <c r="D6" s="7">
        <v>1</v>
      </c>
      <c r="E6" s="29" t="s">
        <v>10</v>
      </c>
      <c r="F6" s="20"/>
      <c r="G6" s="28"/>
      <c r="H6" s="31"/>
    </row>
    <row r="7" spans="1:10" ht="27" x14ac:dyDescent="0.75">
      <c r="A7" s="34">
        <v>2</v>
      </c>
      <c r="B7" s="26" t="s">
        <v>34</v>
      </c>
      <c r="C7" s="26" t="s">
        <v>35</v>
      </c>
      <c r="D7" s="27">
        <v>1</v>
      </c>
      <c r="E7" s="30" t="s">
        <v>14</v>
      </c>
      <c r="F7" s="23"/>
      <c r="G7" s="28"/>
      <c r="H7" s="31"/>
    </row>
    <row r="8" spans="1:10" ht="27" x14ac:dyDescent="0.75">
      <c r="A8" s="34">
        <v>3</v>
      </c>
      <c r="B8" s="26" t="s">
        <v>49</v>
      </c>
      <c r="C8" s="26" t="s">
        <v>49</v>
      </c>
      <c r="D8" s="27">
        <v>1</v>
      </c>
      <c r="E8" s="30" t="s">
        <v>41</v>
      </c>
      <c r="F8" s="23"/>
      <c r="G8" s="28"/>
      <c r="H8" s="31"/>
    </row>
    <row r="9" spans="1:10" ht="27" x14ac:dyDescent="0.75">
      <c r="A9" s="34">
        <v>3</v>
      </c>
      <c r="B9" s="10" t="s">
        <v>26</v>
      </c>
      <c r="C9" s="10" t="s">
        <v>26</v>
      </c>
      <c r="D9" s="11">
        <v>1</v>
      </c>
      <c r="E9" s="29" t="s">
        <v>11</v>
      </c>
      <c r="F9" s="22"/>
      <c r="G9" s="21"/>
      <c r="H9" s="31"/>
    </row>
    <row r="10" spans="1:10" ht="27" x14ac:dyDescent="0.75">
      <c r="A10" s="34">
        <v>4</v>
      </c>
      <c r="B10" s="10" t="s">
        <v>27</v>
      </c>
      <c r="C10" s="10" t="s">
        <v>28</v>
      </c>
      <c r="D10" s="11">
        <v>1</v>
      </c>
      <c r="E10" s="29" t="s">
        <v>10</v>
      </c>
      <c r="F10" s="22"/>
      <c r="G10" s="21"/>
      <c r="H10" s="31"/>
    </row>
    <row r="11" spans="1:10" ht="27" x14ac:dyDescent="0.75">
      <c r="A11" s="34">
        <v>5</v>
      </c>
      <c r="B11" s="10" t="s">
        <v>23</v>
      </c>
      <c r="C11" s="10" t="s">
        <v>24</v>
      </c>
      <c r="D11" s="11">
        <v>1</v>
      </c>
      <c r="E11" s="29" t="s">
        <v>10</v>
      </c>
      <c r="F11" s="22"/>
      <c r="G11" s="21"/>
      <c r="H11" s="31"/>
    </row>
    <row r="12" spans="1:10" ht="27" x14ac:dyDescent="0.75">
      <c r="A12" s="34">
        <v>6</v>
      </c>
      <c r="B12" s="12" t="s">
        <v>36</v>
      </c>
      <c r="C12" s="12" t="s">
        <v>7</v>
      </c>
      <c r="D12" s="11">
        <v>3</v>
      </c>
      <c r="E12" s="29" t="s">
        <v>10</v>
      </c>
      <c r="F12" s="22"/>
      <c r="G12" s="21"/>
      <c r="H12" s="32"/>
    </row>
    <row r="13" spans="1:10" ht="27" x14ac:dyDescent="0.75">
      <c r="A13" s="34">
        <v>7</v>
      </c>
      <c r="B13" s="12" t="s">
        <v>8</v>
      </c>
      <c r="C13" s="12" t="s">
        <v>8</v>
      </c>
      <c r="D13" s="11">
        <v>3</v>
      </c>
      <c r="E13" s="29" t="s">
        <v>16</v>
      </c>
      <c r="F13" s="22"/>
      <c r="G13" s="21"/>
      <c r="H13" s="32"/>
    </row>
    <row r="14" spans="1:10" ht="27" x14ac:dyDescent="0.75">
      <c r="A14" s="34">
        <v>8</v>
      </c>
      <c r="B14" s="16" t="s">
        <v>18</v>
      </c>
      <c r="C14" s="15" t="s">
        <v>18</v>
      </c>
      <c r="D14" s="11">
        <v>1</v>
      </c>
      <c r="E14" s="12" t="s">
        <v>17</v>
      </c>
      <c r="F14" s="22"/>
      <c r="G14" s="21"/>
      <c r="H14" s="32"/>
    </row>
    <row r="15" spans="1:10" ht="27" x14ac:dyDescent="0.75">
      <c r="A15" s="34">
        <v>9</v>
      </c>
      <c r="B15" s="12" t="s">
        <v>15</v>
      </c>
      <c r="C15" s="12" t="s">
        <v>15</v>
      </c>
      <c r="D15" s="11">
        <v>1</v>
      </c>
      <c r="E15" s="29" t="s">
        <v>17</v>
      </c>
      <c r="F15" s="22"/>
      <c r="G15" s="21"/>
      <c r="H15" s="31"/>
    </row>
    <row r="16" spans="1:10" ht="27" x14ac:dyDescent="0.75">
      <c r="A16" s="47" t="s">
        <v>46</v>
      </c>
      <c r="B16" s="48"/>
      <c r="C16" s="48"/>
      <c r="D16" s="48"/>
      <c r="E16" s="48"/>
      <c r="F16" s="48"/>
      <c r="G16" s="48"/>
      <c r="H16" s="49"/>
    </row>
    <row r="17" spans="1:10" ht="27" x14ac:dyDescent="0.75">
      <c r="A17" s="35">
        <v>1</v>
      </c>
      <c r="B17" s="36" t="s">
        <v>37</v>
      </c>
      <c r="C17" s="37" t="s">
        <v>37</v>
      </c>
      <c r="D17" s="38">
        <v>1</v>
      </c>
      <c r="E17" s="39" t="s">
        <v>14</v>
      </c>
      <c r="F17" s="40"/>
      <c r="G17" s="40"/>
      <c r="H17" s="35"/>
    </row>
    <row r="18" spans="1:10" ht="27" x14ac:dyDescent="0.75">
      <c r="A18" s="35">
        <v>2</v>
      </c>
      <c r="B18" s="10" t="s">
        <v>23</v>
      </c>
      <c r="C18" s="10" t="s">
        <v>24</v>
      </c>
      <c r="D18" s="11">
        <v>1</v>
      </c>
      <c r="E18" s="29" t="s">
        <v>10</v>
      </c>
      <c r="F18" s="22"/>
      <c r="G18" s="21"/>
      <c r="H18" s="35"/>
    </row>
    <row r="19" spans="1:10" ht="27" x14ac:dyDescent="0.75">
      <c r="A19" s="35">
        <v>3</v>
      </c>
      <c r="B19" s="10" t="s">
        <v>27</v>
      </c>
      <c r="C19" s="10" t="s">
        <v>28</v>
      </c>
      <c r="D19" s="11">
        <v>1</v>
      </c>
      <c r="E19" s="29" t="s">
        <v>10</v>
      </c>
      <c r="F19" s="22"/>
      <c r="G19" s="21"/>
      <c r="H19" s="35"/>
    </row>
    <row r="20" spans="1:10" ht="27" x14ac:dyDescent="0.75">
      <c r="A20" s="35">
        <v>4</v>
      </c>
      <c r="B20" s="12" t="s">
        <v>36</v>
      </c>
      <c r="C20" s="12" t="s">
        <v>7</v>
      </c>
      <c r="D20" s="11">
        <v>2</v>
      </c>
      <c r="E20" s="29" t="s">
        <v>10</v>
      </c>
      <c r="F20" s="22"/>
      <c r="G20" s="21"/>
      <c r="H20" s="8"/>
    </row>
    <row r="21" spans="1:10" ht="27" x14ac:dyDescent="0.75">
      <c r="A21" s="35">
        <v>5</v>
      </c>
      <c r="B21" s="12" t="s">
        <v>32</v>
      </c>
      <c r="C21" s="12" t="s">
        <v>32</v>
      </c>
      <c r="D21" s="11">
        <v>3</v>
      </c>
      <c r="E21" s="29" t="s">
        <v>33</v>
      </c>
      <c r="F21" s="22"/>
      <c r="G21" s="21"/>
      <c r="H21" s="8"/>
    </row>
    <row r="22" spans="1:10" ht="27" x14ac:dyDescent="0.75">
      <c r="A22" s="35">
        <v>7</v>
      </c>
      <c r="B22" s="12" t="s">
        <v>38</v>
      </c>
      <c r="C22" s="12" t="s">
        <v>38</v>
      </c>
      <c r="D22" s="11">
        <v>12</v>
      </c>
      <c r="E22" s="29" t="s">
        <v>16</v>
      </c>
      <c r="F22" s="22"/>
      <c r="G22" s="21"/>
      <c r="H22" s="8"/>
      <c r="I22" s="41"/>
      <c r="J22" s="42"/>
    </row>
    <row r="23" spans="1:10" ht="27" x14ac:dyDescent="0.75">
      <c r="A23" s="35">
        <v>8</v>
      </c>
      <c r="B23" s="12" t="s">
        <v>9</v>
      </c>
      <c r="C23" s="12" t="s">
        <v>9</v>
      </c>
      <c r="D23" s="11">
        <v>3</v>
      </c>
      <c r="E23" s="29" t="s">
        <v>16</v>
      </c>
      <c r="F23" s="22"/>
      <c r="G23" s="21"/>
      <c r="H23" s="8"/>
    </row>
    <row r="24" spans="1:10" ht="27" x14ac:dyDescent="0.75">
      <c r="A24" s="35">
        <v>9</v>
      </c>
      <c r="B24" s="16" t="s">
        <v>18</v>
      </c>
      <c r="C24" s="15" t="s">
        <v>18</v>
      </c>
      <c r="D24" s="11">
        <v>1</v>
      </c>
      <c r="E24" s="12" t="s">
        <v>17</v>
      </c>
      <c r="F24" s="22"/>
      <c r="G24" s="21"/>
      <c r="H24" s="8"/>
    </row>
    <row r="25" spans="1:10" ht="27" x14ac:dyDescent="0.75">
      <c r="A25" s="35">
        <v>10</v>
      </c>
      <c r="B25" s="12" t="s">
        <v>15</v>
      </c>
      <c r="C25" s="12" t="s">
        <v>15</v>
      </c>
      <c r="D25" s="11">
        <v>1</v>
      </c>
      <c r="E25" s="29" t="s">
        <v>17</v>
      </c>
      <c r="F25" s="22"/>
      <c r="G25" s="21"/>
      <c r="H25" s="8"/>
    </row>
    <row r="26" spans="1:10" ht="27" x14ac:dyDescent="0.75">
      <c r="A26" s="47" t="s">
        <v>45</v>
      </c>
      <c r="B26" s="48"/>
      <c r="C26" s="48"/>
      <c r="D26" s="48"/>
      <c r="E26" s="48"/>
      <c r="F26" s="48"/>
      <c r="G26" s="48"/>
      <c r="H26" s="49"/>
    </row>
    <row r="27" spans="1:10" ht="27" x14ac:dyDescent="0.75">
      <c r="A27" s="8">
        <v>1</v>
      </c>
      <c r="B27" s="12" t="s">
        <v>36</v>
      </c>
      <c r="C27" s="12" t="s">
        <v>7</v>
      </c>
      <c r="D27" s="11">
        <v>2</v>
      </c>
      <c r="E27" s="44" t="s">
        <v>10</v>
      </c>
      <c r="F27" s="22"/>
      <c r="G27" s="21"/>
      <c r="H27" s="8"/>
    </row>
    <row r="28" spans="1:10" ht="27" x14ac:dyDescent="0.75">
      <c r="A28" s="8">
        <v>2</v>
      </c>
      <c r="B28" s="8" t="s">
        <v>39</v>
      </c>
      <c r="C28" s="8" t="s">
        <v>40</v>
      </c>
      <c r="D28" s="7">
        <v>1</v>
      </c>
      <c r="E28" s="45" t="s">
        <v>10</v>
      </c>
      <c r="F28" s="43"/>
      <c r="G28" s="20"/>
      <c r="H28" s="8"/>
    </row>
    <row r="29" spans="1:10" ht="27" x14ac:dyDescent="0.75">
      <c r="A29" s="8">
        <v>3</v>
      </c>
      <c r="B29" s="12" t="s">
        <v>38</v>
      </c>
      <c r="C29" s="12" t="s">
        <v>38</v>
      </c>
      <c r="D29" s="11">
        <v>2</v>
      </c>
      <c r="E29" s="29" t="s">
        <v>16</v>
      </c>
      <c r="F29" s="22"/>
      <c r="G29" s="21"/>
      <c r="H29" s="8"/>
    </row>
    <row r="30" spans="1:10" ht="27" x14ac:dyDescent="0.75">
      <c r="A30" s="8">
        <v>4</v>
      </c>
      <c r="B30" s="12" t="s">
        <v>9</v>
      </c>
      <c r="C30" s="12" t="s">
        <v>9</v>
      </c>
      <c r="D30" s="11">
        <v>2</v>
      </c>
      <c r="E30" s="44" t="s">
        <v>16</v>
      </c>
      <c r="F30" s="22"/>
      <c r="G30" s="21"/>
      <c r="H30" s="8"/>
    </row>
    <row r="31" spans="1:10" ht="27" x14ac:dyDescent="0.75">
      <c r="A31" s="53" t="s">
        <v>43</v>
      </c>
      <c r="B31" s="54"/>
      <c r="C31" s="54"/>
      <c r="D31" s="54"/>
      <c r="E31" s="54"/>
      <c r="F31" s="54"/>
      <c r="G31" s="54"/>
      <c r="H31" s="55"/>
    </row>
    <row r="32" spans="1:10" ht="27" x14ac:dyDescent="0.75">
      <c r="A32" s="13">
        <v>1</v>
      </c>
      <c r="B32" s="12" t="s">
        <v>36</v>
      </c>
      <c r="C32" s="12" t="s">
        <v>7</v>
      </c>
      <c r="D32" s="11">
        <v>1</v>
      </c>
      <c r="E32" s="1" t="s">
        <v>10</v>
      </c>
      <c r="F32" s="24"/>
      <c r="G32" s="21"/>
      <c r="H32" s="8"/>
    </row>
    <row r="33" spans="1:8" ht="27" x14ac:dyDescent="0.75">
      <c r="A33" s="14">
        <v>2</v>
      </c>
      <c r="B33" s="9" t="s">
        <v>25</v>
      </c>
      <c r="C33" s="9" t="s">
        <v>19</v>
      </c>
      <c r="D33" s="7">
        <v>1</v>
      </c>
      <c r="E33" s="12" t="s">
        <v>10</v>
      </c>
      <c r="F33" s="22"/>
      <c r="G33" s="21"/>
      <c r="H33" s="8"/>
    </row>
    <row r="34" spans="1:8" ht="27" x14ac:dyDescent="0.75">
      <c r="A34" s="14">
        <v>3</v>
      </c>
      <c r="B34" s="12" t="s">
        <v>9</v>
      </c>
      <c r="C34" s="12" t="s">
        <v>9</v>
      </c>
      <c r="D34" s="11">
        <v>2</v>
      </c>
      <c r="E34" s="1" t="s">
        <v>16</v>
      </c>
      <c r="F34" s="24"/>
      <c r="G34" s="21"/>
      <c r="H34" s="8"/>
    </row>
    <row r="35" spans="1:8" ht="30.6" customHeight="1" x14ac:dyDescent="0.75">
      <c r="A35" s="53" t="s">
        <v>44</v>
      </c>
      <c r="B35" s="54"/>
      <c r="C35" s="54"/>
      <c r="D35" s="54"/>
      <c r="E35" s="54"/>
      <c r="F35" s="54"/>
      <c r="G35" s="54"/>
      <c r="H35" s="55"/>
    </row>
    <row r="36" spans="1:8" ht="27" x14ac:dyDescent="0.75">
      <c r="A36" s="17">
        <v>1</v>
      </c>
      <c r="B36" s="12" t="s">
        <v>36</v>
      </c>
      <c r="C36" s="12" t="s">
        <v>7</v>
      </c>
      <c r="D36" s="11">
        <v>2</v>
      </c>
      <c r="E36" s="1" t="s">
        <v>10</v>
      </c>
      <c r="F36" s="22"/>
      <c r="G36" s="21"/>
      <c r="H36" s="8"/>
    </row>
    <row r="37" spans="1:8" ht="27" x14ac:dyDescent="0.75">
      <c r="A37" s="17">
        <v>2</v>
      </c>
      <c r="B37" s="12" t="s">
        <v>12</v>
      </c>
      <c r="C37" s="12" t="s">
        <v>13</v>
      </c>
      <c r="D37" s="11">
        <v>1</v>
      </c>
      <c r="E37" s="1" t="s">
        <v>10</v>
      </c>
      <c r="F37" s="22"/>
      <c r="G37" s="21"/>
      <c r="H37" s="8"/>
    </row>
    <row r="38" spans="1:8" ht="27" x14ac:dyDescent="0.75">
      <c r="A38" s="17">
        <v>3</v>
      </c>
      <c r="B38" s="9" t="s">
        <v>25</v>
      </c>
      <c r="C38" s="9" t="s">
        <v>19</v>
      </c>
      <c r="D38" s="7">
        <v>1</v>
      </c>
      <c r="E38" s="12" t="s">
        <v>10</v>
      </c>
      <c r="F38" s="22"/>
      <c r="G38" s="21"/>
      <c r="H38" s="8"/>
    </row>
    <row r="39" spans="1:8" ht="27" x14ac:dyDescent="0.75">
      <c r="A39" s="17">
        <v>4</v>
      </c>
      <c r="B39" s="9" t="s">
        <v>31</v>
      </c>
      <c r="C39" s="9" t="s">
        <v>31</v>
      </c>
      <c r="D39" s="7">
        <v>1</v>
      </c>
      <c r="E39" s="12" t="s">
        <v>10</v>
      </c>
      <c r="F39" s="22"/>
      <c r="G39" s="21"/>
      <c r="H39" s="8"/>
    </row>
    <row r="40" spans="1:8" ht="27" x14ac:dyDescent="0.75">
      <c r="A40" s="17">
        <v>5</v>
      </c>
      <c r="B40" s="10" t="s">
        <v>27</v>
      </c>
      <c r="C40" s="10" t="s">
        <v>28</v>
      </c>
      <c r="D40" s="11">
        <v>1</v>
      </c>
      <c r="E40" s="1" t="s">
        <v>10</v>
      </c>
      <c r="F40" s="22"/>
      <c r="G40" s="21"/>
      <c r="H40" s="8"/>
    </row>
    <row r="41" spans="1:8" ht="27" x14ac:dyDescent="0.75">
      <c r="A41" s="17">
        <v>6</v>
      </c>
      <c r="B41" s="26" t="s">
        <v>34</v>
      </c>
      <c r="C41" s="26" t="s">
        <v>35</v>
      </c>
      <c r="D41" s="27">
        <v>1</v>
      </c>
      <c r="E41" s="30" t="s">
        <v>14</v>
      </c>
      <c r="F41" s="23"/>
      <c r="G41" s="28"/>
      <c r="H41" s="8"/>
    </row>
    <row r="42" spans="1:8" ht="27" x14ac:dyDescent="0.75">
      <c r="A42" s="17">
        <v>7</v>
      </c>
      <c r="B42" s="16" t="s">
        <v>18</v>
      </c>
      <c r="C42" s="15" t="s">
        <v>18</v>
      </c>
      <c r="D42" s="11">
        <v>1</v>
      </c>
      <c r="E42" s="12" t="s">
        <v>17</v>
      </c>
      <c r="F42" s="22"/>
      <c r="G42" s="21"/>
      <c r="H42" s="8"/>
    </row>
    <row r="43" spans="1:8" ht="27" x14ac:dyDescent="0.75">
      <c r="A43" s="17">
        <v>8</v>
      </c>
      <c r="B43" s="12" t="s">
        <v>15</v>
      </c>
      <c r="C43" s="12" t="s">
        <v>15</v>
      </c>
      <c r="D43" s="11">
        <v>1</v>
      </c>
      <c r="E43" s="1" t="s">
        <v>17</v>
      </c>
      <c r="F43" s="22"/>
      <c r="G43" s="21"/>
      <c r="H43" s="8"/>
    </row>
    <row r="44" spans="1:8" ht="27" x14ac:dyDescent="0.75">
      <c r="A44" s="17">
        <v>9</v>
      </c>
      <c r="B44" s="12" t="s">
        <v>8</v>
      </c>
      <c r="C44" s="12" t="s">
        <v>8</v>
      </c>
      <c r="D44" s="11">
        <v>3</v>
      </c>
      <c r="E44" s="1" t="s">
        <v>16</v>
      </c>
      <c r="F44" s="22"/>
      <c r="G44" s="21"/>
      <c r="H44" s="8"/>
    </row>
    <row r="45" spans="1:8" ht="27" x14ac:dyDescent="0.75">
      <c r="A45" s="17">
        <v>10</v>
      </c>
      <c r="B45" s="12" t="s">
        <v>9</v>
      </c>
      <c r="C45" s="12" t="s">
        <v>9</v>
      </c>
      <c r="D45" s="11">
        <v>1</v>
      </c>
      <c r="E45" s="1" t="s">
        <v>16</v>
      </c>
      <c r="F45" s="22"/>
      <c r="G45" s="21"/>
      <c r="H45" s="8"/>
    </row>
    <row r="46" spans="1:8" ht="27" x14ac:dyDescent="0.75">
      <c r="A46" s="17">
        <v>11</v>
      </c>
      <c r="B46" s="12" t="s">
        <v>30</v>
      </c>
      <c r="C46" s="12" t="s">
        <v>30</v>
      </c>
      <c r="D46" s="11">
        <v>1</v>
      </c>
      <c r="E46" s="1" t="s">
        <v>16</v>
      </c>
      <c r="F46" s="22"/>
      <c r="G46" s="21"/>
      <c r="H46" s="25"/>
    </row>
    <row r="47" spans="1:8" ht="27" x14ac:dyDescent="0.7">
      <c r="A47" s="50" t="s">
        <v>20</v>
      </c>
      <c r="B47" s="51"/>
      <c r="C47" s="51"/>
      <c r="D47" s="51"/>
      <c r="E47" s="51"/>
      <c r="F47" s="52"/>
      <c r="G47" s="18">
        <f>SUM(G3:G46)</f>
        <v>0</v>
      </c>
      <c r="H47" s="19" t="s">
        <v>21</v>
      </c>
    </row>
  </sheetData>
  <mergeCells count="7">
    <mergeCell ref="A2:H2"/>
    <mergeCell ref="A47:F47"/>
    <mergeCell ref="A35:H35"/>
    <mergeCell ref="A5:H5"/>
    <mergeCell ref="A26:H26"/>
    <mergeCell ref="A16:H16"/>
    <mergeCell ref="A31:H31"/>
  </mergeCells>
  <pageMargins left="0.7" right="0.7" top="0.75" bottom="0.75" header="0.3" footer="0.3"/>
  <pageSetup paperSize="9" scale="65" fitToHeight="0" orientation="landscape" r:id="rId1"/>
  <headerFooter>
    <oddHeader>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3AA9-6428-44CA-86D9-CBA1B8FEB6AA}">
  <dimension ref="A1:C20"/>
  <sheetViews>
    <sheetView tabSelected="1" zoomScale="85" zoomScaleNormal="85" workbookViewId="0">
      <selection activeCell="C2" sqref="C2"/>
    </sheetView>
  </sheetViews>
  <sheetFormatPr defaultRowHeight="13.8" x14ac:dyDescent="0.25"/>
  <cols>
    <col min="2" max="2" width="79.3984375" bestFit="1" customWidth="1"/>
    <col min="3" max="3" width="8.69921875" bestFit="1" customWidth="1"/>
  </cols>
  <sheetData>
    <row r="1" spans="1:3" ht="27" x14ac:dyDescent="0.75">
      <c r="A1" s="56" t="s">
        <v>0</v>
      </c>
      <c r="B1" s="56" t="s">
        <v>2</v>
      </c>
      <c r="C1" s="56" t="s">
        <v>3</v>
      </c>
    </row>
    <row r="2" spans="1:3" ht="24.6" x14ac:dyDescent="0.7">
      <c r="A2">
        <f>IF(B2="","",COUNTIF($B$3:B3,"&lt;&gt;"))</f>
        <v>1</v>
      </c>
      <c r="B2" s="2" t="str" cm="1">
        <f t="array" ref="B2:B20">_xlfn.UNIQUE(_xlfn._xlws.FILTER(sheet1!B3:B100,sheet1!B3:B100&lt;&gt;""))</f>
        <v>Reyee Wi-Fi 6 AX1800 RG-RAP62</v>
      </c>
      <c r="C2">
        <f>SUMIF(sheet1!$B$3:$B$100,B2,sheet1!$D$3:$D$100)</f>
        <v>12</v>
      </c>
    </row>
    <row r="3" spans="1:3" ht="24.6" x14ac:dyDescent="0.7">
      <c r="A3">
        <f>IF(B3="","",COUNTIF($B$3:B4,"&lt;&gt;"))</f>
        <v>2</v>
      </c>
      <c r="B3" s="2" t="str">
        <v>จ้างเหมาติดตั้งสาย LAN พร้อมสาย LAN Outdoor CAT6 พร้อมติดตั้งอุปกรณ์ปลายทาง</v>
      </c>
      <c r="C3">
        <f>SUMIF(sheet1!$B$3:$B$100,B3,sheet1!$D$3:$D$100)</f>
        <v>10</v>
      </c>
    </row>
    <row r="4" spans="1:3" ht="24.6" x14ac:dyDescent="0.7">
      <c r="A4">
        <f>IF(B4="","",COUNTIF($B$3:B5,"&lt;&gt;"))</f>
        <v>3</v>
      </c>
      <c r="B4" s="2" t="str">
        <v>Mikrotik CCR2004-16G-2S+</v>
      </c>
      <c r="C4">
        <f>SUMIF(sheet1!$B$3:$B$100,B4,sheet1!$D$3:$D$100)</f>
        <v>1</v>
      </c>
    </row>
    <row r="5" spans="1:3" ht="24.6" x14ac:dyDescent="0.7">
      <c r="A5">
        <f>IF(B5="","",COUNTIF($B$3:B6,"&lt;&gt;"))</f>
        <v>4</v>
      </c>
      <c r="B5" s="2" t="str">
        <v>Wall rack 9U ลึก 50cm. พร้อมพัดลมและถาด</v>
      </c>
      <c r="C5">
        <f>SUMIF(sheet1!$B$3:$B$100,B5,sheet1!$D$3:$D$100)</f>
        <v>2</v>
      </c>
    </row>
    <row r="6" spans="1:3" ht="24.6" x14ac:dyDescent="0.7">
      <c r="A6">
        <f>IF(B6="","",COUNTIF($B$3:B7,"&lt;&gt;"))</f>
        <v>5</v>
      </c>
      <c r="B6" s="2" t="str">
        <v>ระบบจัดเก็บ log</v>
      </c>
      <c r="C6">
        <f>SUMIF(sheet1!$B$3:$B$100,B6,sheet1!$D$3:$D$100)</f>
        <v>1</v>
      </c>
    </row>
    <row r="7" spans="1:3" ht="24.6" x14ac:dyDescent="0.7">
      <c r="A7">
        <f>IF(B7="","",COUNTIF($B$3:B8,"&lt;&gt;"))</f>
        <v>6</v>
      </c>
      <c r="B7" s="2" t="str">
        <v>รางไฟชนิด 6 Outlet</v>
      </c>
      <c r="C7">
        <f>SUMIF(sheet1!$B$3:$B$100,B7,sheet1!$D$3:$D$100)</f>
        <v>1</v>
      </c>
    </row>
    <row r="8" spans="1:3" ht="24.6" x14ac:dyDescent="0.7">
      <c r="A8">
        <f>IF(B8="","",COUNTIF($B$3:B9,"&lt;&gt;"))</f>
        <v>7</v>
      </c>
      <c r="B8" s="2" t="str">
        <v>Stabilizer ZIRCON 2000VA HD-RL</v>
      </c>
      <c r="C8">
        <f>SUMIF(sheet1!$B$3:$B$100,B8,sheet1!$D$3:$D$100)</f>
        <v>3</v>
      </c>
    </row>
    <row r="9" spans="1:3" ht="24.6" x14ac:dyDescent="0.7">
      <c r="A9">
        <f>IF(B9="","",COUNTIF($B$3:B10,"&lt;&gt;"))</f>
        <v>8</v>
      </c>
      <c r="B9" s="2" t="str">
        <v>Reyee RG-NBS3100-24GT4SFP-P</v>
      </c>
      <c r="C9">
        <f>SUMIF(sheet1!$B$3:$B$100,B9,sheet1!$D$3:$D$100)</f>
        <v>2</v>
      </c>
    </row>
    <row r="10" spans="1:3" ht="24.6" x14ac:dyDescent="0.7">
      <c r="A10">
        <f>IF(B10="","",COUNTIF($B$3:B11,"&lt;&gt;"))</f>
        <v>9</v>
      </c>
      <c r="B10" s="2" t="str">
        <v>จ้างเหมาติดตั้งสาย LAN พร้อมสาย LAN Indoor CAT6 พร้อมติดตั้งอุปกรณ์ปลายทาง(ร้อยสายในท่อ pvc)</v>
      </c>
      <c r="C10">
        <f>SUMIF(sheet1!$B$3:$B$100,B10,sheet1!$D$3:$D$100)</f>
        <v>6</v>
      </c>
    </row>
    <row r="11" spans="1:3" ht="24.6" x14ac:dyDescent="0.7">
      <c r="A11">
        <f>IF(B11="","",COUNTIF($B$3:B12,"&lt;&gt;"))</f>
        <v>10</v>
      </c>
      <c r="B11" s="2" t="str">
        <v>จ้างเหมาติดตั้งตู้ rack พร้อมเชื่อมต่อไฟฟ้าเข้าตู้ rack</v>
      </c>
      <c r="C11">
        <f>SUMIF(sheet1!$B$3:$B$100,B11,sheet1!$D$3:$D$100)</f>
        <v>3</v>
      </c>
    </row>
    <row r="12" spans="1:3" ht="24.6" x14ac:dyDescent="0.7">
      <c r="A12">
        <f>IF(B12="","",COUNTIF($B$3:B13,"&lt;&gt;"))</f>
        <v>11</v>
      </c>
      <c r="B12" s="2" t="str">
        <v>จ้างเหมาติดตั้งระบบ Ground ของตู้ Rack พร้อม Ground rod และ Bus bas</v>
      </c>
      <c r="C12">
        <f>SUMIF(sheet1!$B$3:$B$100,B12,sheet1!$D$3:$D$100)</f>
        <v>3</v>
      </c>
    </row>
    <row r="13" spans="1:3" ht="24.6" x14ac:dyDescent="0.7">
      <c r="A13">
        <f>IF(B13="","",COUNTIF($B$3:B14,"&lt;&gt;"))</f>
        <v>12</v>
      </c>
      <c r="B13" s="2" t="str">
        <v>Wall Rack 6U (50 cm.) GERMANY  พร้อมพัดลมเดี่ยว 4 นิ้ว</v>
      </c>
      <c r="C13">
        <f>SUMIF(sheet1!$B$3:$B$100,B13,sheet1!$D$3:$D$100)</f>
        <v>1</v>
      </c>
    </row>
    <row r="14" spans="1:3" ht="24.6" x14ac:dyDescent="0.7">
      <c r="A14">
        <f>IF(B14="","",COUNTIF($B$3:B15,"&lt;&gt;"))</f>
        <v>13</v>
      </c>
      <c r="B14" s="2" t="str">
        <v>CAT6 LAN Patch cord 1 เมตร</v>
      </c>
      <c r="C14">
        <f>SUMIF(sheet1!$B$3:$B$100,B14,sheet1!$D$3:$D$100)</f>
        <v>3</v>
      </c>
    </row>
    <row r="15" spans="1:3" ht="24.6" x14ac:dyDescent="0.7">
      <c r="A15">
        <f>IF(B15="","",COUNTIF($B$3:B16,"&lt;&gt;"))</f>
        <v>14</v>
      </c>
      <c r="B15" s="2" t="str">
        <v>จ้างเหมาติดตั้งสาย LAN พร้อมสาย LAN Indoor CAT6 พร้อมติดตั้ง Lan Outlet</v>
      </c>
      <c r="C15">
        <f>SUMIF(sheet1!$B$3:$B$100,B15,sheet1!$D$3:$D$100)</f>
        <v>14</v>
      </c>
    </row>
    <row r="16" spans="1:3" ht="24.6" x14ac:dyDescent="0.7">
      <c r="A16">
        <f>IF(B16="","",COUNTIF($B$3:B17,"&lt;&gt;"))</f>
        <v>15</v>
      </c>
      <c r="B16" s="2" t="str">
        <v>Switch Reyee RG-ES224GC-V2</v>
      </c>
      <c r="C16">
        <f>SUMIF(sheet1!$B$3:$B$100,B16,sheet1!$D$3:$D$100)</f>
        <v>1</v>
      </c>
    </row>
    <row r="17" spans="1:3" ht="24.6" x14ac:dyDescent="0.7">
      <c r="A17">
        <f>IF(B17="","",COUNTIF($B$3:B18,"&lt;&gt;"))</f>
        <v>16</v>
      </c>
      <c r="B17" s="2" t="str">
        <v>RG-ES210GS-P</v>
      </c>
      <c r="C17">
        <f>SUMIF(sheet1!$B$3:$B$100,B17,sheet1!$D$3:$D$100)</f>
        <v>2</v>
      </c>
    </row>
    <row r="18" spans="1:3" ht="24.6" x14ac:dyDescent="0.7">
      <c r="A18">
        <f>IF(B18="","",COUNTIF($B$3:B19,"&lt;&gt;"))</f>
        <v>17</v>
      </c>
      <c r="B18" s="2" t="str">
        <v>RG-RAP2260(E) Reyee Wi-Fi 6 AX3200</v>
      </c>
      <c r="C18">
        <f>SUMIF(sheet1!$B$3:$B$100,B18,sheet1!$D$3:$D$100)</f>
        <v>1</v>
      </c>
    </row>
    <row r="19" spans="1:3" ht="24.6" x14ac:dyDescent="0.7">
      <c r="A19">
        <f>IF(B19="","",COUNTIF($B$3:B20,"&lt;&gt;"))</f>
        <v>18</v>
      </c>
      <c r="B19" s="2" t="str">
        <v>1.25Gpbs Bidi SFP Module</v>
      </c>
      <c r="C19">
        <f>SUMIF(sheet1!$B$3:$B$100,B19,sheet1!$D$3:$D$100)</f>
        <v>1</v>
      </c>
    </row>
    <row r="20" spans="1:3" ht="24.6" x14ac:dyDescent="0.7">
      <c r="A20">
        <f>IF(B20="","",COUNTIF($B$3:B21,"&lt;&gt;"))</f>
        <v>18</v>
      </c>
      <c r="B20" s="2" t="str">
        <v xml:space="preserve">จ้างเหมาเดินสาย OFC 2C ระยะไม่เกิน 200 เมตร พร้อมสายและ Fusion Splice </v>
      </c>
      <c r="C20">
        <f>SUMIF(sheet1!$B$3:$B$100,B20,sheet1!$D$3:$D$100)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TOR_list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teerapol</dc:creator>
  <cp:lastModifiedBy>Panuwal.1440</cp:lastModifiedBy>
  <dcterms:created xsi:type="dcterms:W3CDTF">2023-02-01T08:36:31Z</dcterms:created>
  <dcterms:modified xsi:type="dcterms:W3CDTF">2026-05-29T07:20:25Z</dcterms:modified>
</cp:coreProperties>
</file>